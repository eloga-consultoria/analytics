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ustos por mês" sheetId="2" state="visible" r:id="rId2"/>
    <sheet xmlns:r="http://schemas.openxmlformats.org/officeDocument/2006/relationships" name="Mensal (importa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11C27"/>
      <sz val="14"/>
    </font>
    <font>
      <b val="1"/>
      <color rgb="0000A6A6"/>
      <sz val="12"/>
    </font>
    <font>
      <b val="1"/>
      <color rgb="00011C27"/>
    </font>
    <font>
      <name val="Calibri"/>
      <b val="1"/>
      <color rgb="00FFFFFF"/>
      <sz val="11"/>
    </font>
    <font>
      <i val="1"/>
      <color rgb="005F6F77"/>
    </font>
    <font>
      <color rgb="005F6F77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11C27"/>
      </patternFill>
    </fill>
    <fill>
      <patternFill patternType="solid">
        <fgColor rgb="00FFF8DC"/>
      </patternFill>
    </fill>
    <fill>
      <patternFill patternType="solid">
        <fgColor rgb="00E8EFF1"/>
      </patternFill>
    </fill>
  </fills>
  <borders count="2">
    <border>
      <left/>
      <right/>
      <top/>
      <bottom/>
      <diagonal/>
    </border>
    <border>
      <left style="thin">
        <color rgb="00D5DEE1"/>
      </left>
      <right style="thin">
        <color rgb="00D5DEE1"/>
      </right>
      <top style="thin">
        <color rgb="00D5DEE1"/>
      </top>
      <bottom style="thin">
        <color rgb="00D5DE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pivotButton="0" quotePrefix="0" xfId="0"/>
    <xf numFmtId="4" fontId="0" fillId="3" borderId="1" pivotButton="0" quotePrefix="0" xfId="0"/>
    <xf numFmtId="0" fontId="7" fillId="0" borderId="0" pivotButton="0" quotePrefix="0" xfId="0"/>
    <xf numFmtId="4" fontId="7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10" customWidth="1" min="3" max="3"/>
  </cols>
  <sheetData>
    <row r="1">
      <c r="A1" s="1" t="inlineStr">
        <is>
          <t>ELOGA | Consultoria &amp; Estratégias em Saúde</t>
        </is>
      </c>
    </row>
    <row r="2">
      <c r="A2" s="2" t="inlineStr">
        <is>
          <t>Modelo de custos e despesas mensais — clínica de estética</t>
        </is>
      </c>
    </row>
    <row r="4">
      <c r="A4" s="3" t="inlineStr">
        <is>
          <t>Como preencher</t>
        </is>
      </c>
    </row>
    <row r="5">
      <c r="A5" t="inlineStr">
        <is>
          <t>1. Na aba "Custos por mês", informe o ano/mês de cada coluna (formato AAAA-MM, ex.: 2026-09) na linha dos meses.</t>
        </is>
      </c>
    </row>
    <row r="6">
      <c r="A6" t="inlineStr">
        <is>
          <t>2. Digite o valor pago em cada item, mês a mês, em R$. Deixe em branco o que a clínica não tem. Pode usar as linhas "Outro" para itens próprios.</t>
        </is>
      </c>
    </row>
    <row r="7">
      <c r="A7" t="inlineStr">
        <is>
          <t>3. Não altere a coluna "Grupo no painel": é ela que diz em qual linha da DRE cada item entra.</t>
        </is>
      </c>
    </row>
    <row r="8">
      <c r="A8" t="inlineStr">
        <is>
          <t>4. A aba "Mensal (importar)" soma tudo sozinha, por grupo, e é a única aba que o painel lê. Não digite nela.</t>
        </is>
      </c>
    </row>
    <row r="9">
      <c r="A9" t="inlineStr">
        <is>
          <t>5. Salve o arquivo no Excel e, no ELOGA Analytics, vá em Importar planilhas → Planilha mensal e envie este arquivo.</t>
        </is>
      </c>
    </row>
    <row r="11">
      <c r="A11" s="3" t="inlineStr">
        <is>
          <t>Regras importantes</t>
        </is>
      </c>
    </row>
    <row r="12">
      <c r="A12" t="inlineStr">
        <is>
          <t>• Informe o valor efetivamente pago no mês (regime de caixa), sem centavos de arredondamento forçado.</t>
        </is>
      </c>
    </row>
    <row r="13">
      <c r="A13" t="inlineStr">
        <is>
          <t>• Profissionais da assistência (repasse), taxas de cartão, impostos e insumos podem ser calculados automaticamente pelo painel (repasse cadastrado, controle do particular, notas fiscais, kit). Se preferir o valor automático, deixe esses grupos em branco.</t>
        </is>
      </c>
    </row>
    <row r="14">
      <c r="A14" t="inlineStr">
        <is>
          <t>• Receita NÃO entra aqui: em clínica de estética ela vem da agenda importada × tabela de procedimentos e pacotes.</t>
        </is>
      </c>
    </row>
    <row r="15">
      <c r="A15" t="inlineStr">
        <is>
          <t>• Saldo de caixa e saldo devedor são posições do último dia do mês, não somas: informe o valor do fim do mês.</t>
        </is>
      </c>
    </row>
    <row r="16">
      <c r="A16" t="inlineStr">
        <is>
          <t>• Não inclua dados de pacientes.</t>
        </is>
      </c>
    </row>
    <row r="18">
      <c r="A18" s="4" t="inlineStr">
        <is>
          <t>Grupo no painel</t>
        </is>
      </c>
      <c r="B18" s="4" t="inlineStr">
        <is>
          <t>Tipo</t>
        </is>
      </c>
      <c r="C18" s="4" t="inlineStr">
        <is>
          <t>O que entra</t>
        </is>
      </c>
    </row>
    <row r="19">
      <c r="A19" s="5" t="inlineStr">
        <is>
          <t>Equipe administrativa e pró-labore</t>
        </is>
      </c>
      <c r="B19" s="5" t="inlineStr">
        <is>
          <t>Custo fixo</t>
        </is>
      </c>
      <c r="C19" s="5" t="inlineStr">
        <is>
          <t>Pró-labore dos sócios; Recepção e administrativo (salário + encargos); Gerência / coordenação; Benefícios (VT, VR, plano); 13º, férias e rescisões (provisão ou pago); Outro (equipe administrativa)</t>
        </is>
      </c>
    </row>
    <row r="20">
      <c r="A20" s="5" t="inlineStr">
        <is>
          <t>Aluguel, condomínio e utilidades</t>
        </is>
      </c>
      <c r="B20" s="5" t="inlineStr">
        <is>
          <t>Custo fixo</t>
        </is>
      </c>
      <c r="C20" s="5" t="inlineStr">
        <is>
          <t>Aluguel; Condomínio; IPTU; Energia elétrica; Água e esgoto; Internet e telefone; Limpeza e zeladoria; Segurança e monitoramento; Outro (ocupação)</t>
        </is>
      </c>
    </row>
    <row r="21">
      <c r="A21" s="5" t="inlineStr">
        <is>
          <t>Sistemas, marketing e outros fixos</t>
        </is>
      </c>
      <c r="B21" s="5" t="inlineStr">
        <is>
          <t>Custo fixo</t>
        </is>
      </c>
      <c r="C21" s="5" t="inlineStr">
        <is>
          <t>Sistema de gestão e agenda; Contabilidade; Marketing e tráfego pago; Manutenção e calibração de equipamentos; Seguros; Alvará, licenças e vigilância sanitária; Assinaturas (música, streaming, software); Outro fixo</t>
        </is>
      </c>
    </row>
    <row r="22">
      <c r="A22" s="5" t="inlineStr">
        <is>
          <t>Insumos e materiais</t>
        </is>
      </c>
      <c r="B22" s="5" t="inlineStr">
        <is>
          <t>Custo variável</t>
        </is>
      </c>
      <c r="C22" s="5" t="inlineStr">
        <is>
          <t>Descartáveis (luvas, máscaras, lençóis, toucas); Cosméticos e ativos de uso profissional; Injetáveis e produtos de procedimento; Lavanderia e enxoval; Material de escritório e limpeza; Outro insumo</t>
        </is>
      </c>
    </row>
    <row r="23">
      <c r="A23" s="5" t="inlineStr">
        <is>
          <t>Profissionais da assistência (repasse/folha)</t>
        </is>
      </c>
      <c r="B23" s="5" t="inlineStr">
        <is>
          <t>Custo variável</t>
        </is>
      </c>
      <c r="C23" s="5" t="inlineStr">
        <is>
          <t>Repasse a profissionais (esteticistas, biomédicos, fisioterapeutas); Folha de profissionais CLT da assistência; Outro (assistência)</t>
        </is>
      </c>
    </row>
    <row r="24">
      <c r="A24" s="5" t="inlineStr">
        <is>
          <t>Comissões e outros variáveis (opcional)</t>
        </is>
      </c>
      <c r="B24" s="5" t="inlineStr">
        <is>
          <t>Custo variável</t>
        </is>
      </c>
      <c r="C24" s="5" t="inlineStr">
        <is>
          <t>Comissão por venda de pacote; Comissão por indicação; Brindes e cortesias; Outro variável</t>
        </is>
      </c>
    </row>
    <row r="25">
      <c r="A25" s="5" t="inlineStr">
        <is>
          <t>Taxas de cartão e antecipação</t>
        </is>
      </c>
      <c r="B25" s="5" t="inlineStr">
        <is>
          <t>Custo variável</t>
        </is>
      </c>
      <c r="C25" s="5" t="inlineStr">
        <is>
          <t>Taxa de cartão (débito/crédito); Antecipação de recebíveis; Taxa de plataforma de pagamento / link</t>
        </is>
      </c>
    </row>
    <row r="26">
      <c r="A26" s="5" t="inlineStr">
        <is>
          <t>Impostos pagos no mês (R$)</t>
        </is>
      </c>
      <c r="B26" s="5" t="inlineStr">
        <is>
          <t>Dedução</t>
        </is>
      </c>
      <c r="C26" s="5" t="inlineStr">
        <is>
          <t>DAS (Simples Nacional); ISS; PIS/COFINS e retenções; Outros tributos</t>
        </is>
      </c>
    </row>
    <row r="27">
      <c r="A27" s="5" t="inlineStr">
        <is>
          <t>Descontos concedidos</t>
        </is>
      </c>
      <c r="B27" s="5" t="inlineStr">
        <is>
          <t>Dedução</t>
        </is>
      </c>
      <c r="C27" s="5" t="inlineStr">
        <is>
          <t>Descontos em pacotes e promoções; Cortesias e cancelamentos de cobrança</t>
        </is>
      </c>
    </row>
    <row r="28">
      <c r="A28" s="5" t="inlineStr">
        <is>
          <t>Despesas financeiras</t>
        </is>
      </c>
      <c r="B28" s="5" t="inlineStr">
        <is>
          <t>Financeiro</t>
        </is>
      </c>
      <c r="C28" s="5" t="inlineStr">
        <is>
          <t>Juros e multas; Tarifas bancárias; IOF</t>
        </is>
      </c>
    </row>
    <row r="29">
      <c r="A29" s="5" t="inlineStr">
        <is>
          <t>Parcelas de dívidas pagas no mês</t>
        </is>
      </c>
      <c r="B29" s="5" t="inlineStr">
        <is>
          <t>Caixa</t>
        </is>
      </c>
      <c r="C29" s="5" t="inlineStr">
        <is>
          <t>Parcela de empréstimo / financiamento; Parcela de equipamento financiado</t>
        </is>
      </c>
    </row>
    <row r="30">
      <c r="A30" s="5" t="inlineStr">
        <is>
          <t>Saldo devedor de empréstimos</t>
        </is>
      </c>
      <c r="B30" s="5" t="inlineStr">
        <is>
          <t>Posição (informar o valor do fim do mês)</t>
        </is>
      </c>
      <c r="C30" s="5" t="inlineStr">
        <is>
          <t>Saldo devedor total</t>
        </is>
      </c>
    </row>
    <row r="31">
      <c r="A31" s="5" t="inlineStr">
        <is>
          <t>Saldo de caixa no fim do mês</t>
        </is>
      </c>
      <c r="B31" s="5" t="inlineStr">
        <is>
          <t>Posição (informar o valor do fim do mês)</t>
        </is>
      </c>
      <c r="C31" s="5" t="inlineStr">
        <is>
          <t>Saldo em conta e aplicações de resgate imediato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Custos e despesas por mês (R$)</t>
        </is>
      </c>
    </row>
    <row r="2">
      <c r="A2" s="6" t="inlineStr">
        <is>
          <t>Preencha as células amarelas. Altere os meses na linha 4 (AAAA-MM). Valores em R$.</t>
        </is>
      </c>
    </row>
    <row r="4">
      <c r="A4" s="7" t="inlineStr">
        <is>
          <t>Grupo no painel</t>
        </is>
      </c>
      <c r="B4" s="7" t="inlineStr">
        <is>
          <t>Item</t>
        </is>
      </c>
      <c r="C4" s="7" t="inlineStr">
        <is>
          <t>Tipo</t>
        </is>
      </c>
      <c r="D4" s="8" t="inlineStr">
        <is>
          <t>2026-01</t>
        </is>
      </c>
      <c r="E4" s="8" t="inlineStr">
        <is>
          <t>2026-02</t>
        </is>
      </c>
      <c r="F4" s="8" t="inlineStr">
        <is>
          <t>2026-03</t>
        </is>
      </c>
      <c r="G4" s="8" t="inlineStr">
        <is>
          <t>2026-04</t>
        </is>
      </c>
      <c r="H4" s="8" t="inlineStr">
        <is>
          <t>2026-05</t>
        </is>
      </c>
      <c r="I4" s="8" t="inlineStr">
        <is>
          <t>2026-06</t>
        </is>
      </c>
      <c r="J4" s="8" t="inlineStr">
        <is>
          <t>2026-07</t>
        </is>
      </c>
      <c r="K4" s="8" t="inlineStr">
        <is>
          <t>2026-08</t>
        </is>
      </c>
      <c r="L4" s="8" t="inlineStr">
        <is>
          <t>2026-09</t>
        </is>
      </c>
      <c r="M4" s="8" t="inlineStr">
        <is>
          <t>2026-10</t>
        </is>
      </c>
      <c r="N4" s="8" t="inlineStr">
        <is>
          <t>2026-11</t>
        </is>
      </c>
      <c r="O4" s="8" t="inlineStr">
        <is>
          <t>2026-12</t>
        </is>
      </c>
    </row>
    <row r="5">
      <c r="A5" s="9" t="inlineStr">
        <is>
          <t>Equipe administrativa e pró-labore</t>
        </is>
      </c>
      <c r="B5" s="10" t="inlineStr">
        <is>
          <t>Pró-labore dos sócios</t>
        </is>
      </c>
      <c r="C5" s="9" t="inlineStr">
        <is>
          <t>Custo fixo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9" t="inlineStr">
        <is>
          <t>Equipe administrativa e pró-labore</t>
        </is>
      </c>
      <c r="B6" s="10" t="inlineStr">
        <is>
          <t>Recepção e administrativo (salário + encargos)</t>
        </is>
      </c>
      <c r="C6" s="9" t="inlineStr">
        <is>
          <t>Custo fixo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</row>
    <row r="7">
      <c r="A7" s="9" t="inlineStr">
        <is>
          <t>Equipe administrativa e pró-labore</t>
        </is>
      </c>
      <c r="B7" s="10" t="inlineStr">
        <is>
          <t>Gerência / coordenação</t>
        </is>
      </c>
      <c r="C7" s="9" t="inlineStr">
        <is>
          <t>Custo fixo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</row>
    <row r="8">
      <c r="A8" s="9" t="inlineStr">
        <is>
          <t>Equipe administrativa e pró-labore</t>
        </is>
      </c>
      <c r="B8" s="10" t="inlineStr">
        <is>
          <t>Benefícios (VT, VR, plano)</t>
        </is>
      </c>
      <c r="C8" s="9" t="inlineStr">
        <is>
          <t>Custo fixo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9" t="inlineStr">
        <is>
          <t>Equipe administrativa e pró-labore</t>
        </is>
      </c>
      <c r="B9" s="10" t="inlineStr">
        <is>
          <t>13º, férias e rescisões (provisão ou pago)</t>
        </is>
      </c>
      <c r="C9" s="9" t="inlineStr">
        <is>
          <t>Custo fixo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</row>
    <row r="10">
      <c r="A10" s="9" t="inlineStr">
        <is>
          <t>Equipe administrativa e pró-labore</t>
        </is>
      </c>
      <c r="B10" s="10" t="inlineStr">
        <is>
          <t>Outro (equipe administrativa)</t>
        </is>
      </c>
      <c r="C10" s="9" t="inlineStr">
        <is>
          <t>Custo fixo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</row>
    <row r="11">
      <c r="A11" s="9" t="inlineStr">
        <is>
          <t>Aluguel, condomínio e utilidades</t>
        </is>
      </c>
      <c r="B11" s="10" t="inlineStr">
        <is>
          <t>Aluguel</t>
        </is>
      </c>
      <c r="C11" s="9" t="inlineStr">
        <is>
          <t>Custo fixo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</row>
    <row r="12">
      <c r="A12" s="9" t="inlineStr">
        <is>
          <t>Aluguel, condomínio e utilidades</t>
        </is>
      </c>
      <c r="B12" s="10" t="inlineStr">
        <is>
          <t>Condomínio</t>
        </is>
      </c>
      <c r="C12" s="9" t="inlineStr">
        <is>
          <t>Custo fixo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</row>
    <row r="13">
      <c r="A13" s="9" t="inlineStr">
        <is>
          <t>Aluguel, condomínio e utilidades</t>
        </is>
      </c>
      <c r="B13" s="10" t="inlineStr">
        <is>
          <t>IPTU</t>
        </is>
      </c>
      <c r="C13" s="9" t="inlineStr">
        <is>
          <t>Custo fixo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>
      <c r="A14" s="9" t="inlineStr">
        <is>
          <t>Aluguel, condomínio e utilidades</t>
        </is>
      </c>
      <c r="B14" s="10" t="inlineStr">
        <is>
          <t>Energia elétrica</t>
        </is>
      </c>
      <c r="C14" s="9" t="inlineStr">
        <is>
          <t>Custo fixo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9" t="inlineStr">
        <is>
          <t>Aluguel, condomínio e utilidades</t>
        </is>
      </c>
      <c r="B15" s="10" t="inlineStr">
        <is>
          <t>Água e esgoto</t>
        </is>
      </c>
      <c r="C15" s="9" t="inlineStr">
        <is>
          <t>Custo fixo</t>
        </is>
      </c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</row>
    <row r="16">
      <c r="A16" s="9" t="inlineStr">
        <is>
          <t>Aluguel, condomínio e utilidades</t>
        </is>
      </c>
      <c r="B16" s="10" t="inlineStr">
        <is>
          <t>Internet e telefone</t>
        </is>
      </c>
      <c r="C16" s="9" t="inlineStr">
        <is>
          <t>Custo fixo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</row>
    <row r="17">
      <c r="A17" s="9" t="inlineStr">
        <is>
          <t>Aluguel, condomínio e utilidades</t>
        </is>
      </c>
      <c r="B17" s="10" t="inlineStr">
        <is>
          <t>Limpeza e zeladoria</t>
        </is>
      </c>
      <c r="C17" s="9" t="inlineStr">
        <is>
          <t>Custo fixo</t>
        </is>
      </c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>
      <c r="A18" s="9" t="inlineStr">
        <is>
          <t>Aluguel, condomínio e utilidades</t>
        </is>
      </c>
      <c r="B18" s="10" t="inlineStr">
        <is>
          <t>Segurança e monitoramento</t>
        </is>
      </c>
      <c r="C18" s="9" t="inlineStr">
        <is>
          <t>Custo fixo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</row>
    <row r="19">
      <c r="A19" s="9" t="inlineStr">
        <is>
          <t>Aluguel, condomínio e utilidades</t>
        </is>
      </c>
      <c r="B19" s="10" t="inlineStr">
        <is>
          <t>Outro (ocupação)</t>
        </is>
      </c>
      <c r="C19" s="9" t="inlineStr">
        <is>
          <t>Custo fixo</t>
        </is>
      </c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  <row r="20">
      <c r="A20" s="9" t="inlineStr">
        <is>
          <t>Sistemas, marketing e outros fixos</t>
        </is>
      </c>
      <c r="B20" s="10" t="inlineStr">
        <is>
          <t>Sistema de gestão e agenda</t>
        </is>
      </c>
      <c r="C20" s="9" t="inlineStr">
        <is>
          <t>Custo fixo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9" t="inlineStr">
        <is>
          <t>Sistemas, marketing e outros fixos</t>
        </is>
      </c>
      <c r="B21" s="10" t="inlineStr">
        <is>
          <t>Contabilidade</t>
        </is>
      </c>
      <c r="C21" s="9" t="inlineStr">
        <is>
          <t>Custo fixo</t>
        </is>
      </c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</row>
    <row r="22">
      <c r="A22" s="9" t="inlineStr">
        <is>
          <t>Sistemas, marketing e outros fixos</t>
        </is>
      </c>
      <c r="B22" s="10" t="inlineStr">
        <is>
          <t>Marketing e tráfego pago</t>
        </is>
      </c>
      <c r="C22" s="9" t="inlineStr">
        <is>
          <t>Custo fixo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</row>
    <row r="23">
      <c r="A23" s="9" t="inlineStr">
        <is>
          <t>Sistemas, marketing e outros fixos</t>
        </is>
      </c>
      <c r="B23" s="10" t="inlineStr">
        <is>
          <t>Manutenção e calibração de equipamentos</t>
        </is>
      </c>
      <c r="C23" s="9" t="inlineStr">
        <is>
          <t>Custo fixo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</row>
    <row r="24">
      <c r="A24" s="9" t="inlineStr">
        <is>
          <t>Sistemas, marketing e outros fixos</t>
        </is>
      </c>
      <c r="B24" s="10" t="inlineStr">
        <is>
          <t>Seguros</t>
        </is>
      </c>
      <c r="C24" s="9" t="inlineStr">
        <is>
          <t>Custo fixo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</row>
    <row r="25">
      <c r="A25" s="9" t="inlineStr">
        <is>
          <t>Sistemas, marketing e outros fixos</t>
        </is>
      </c>
      <c r="B25" s="10" t="inlineStr">
        <is>
          <t>Alvará, licenças e vigilância sanitária</t>
        </is>
      </c>
      <c r="C25" s="9" t="inlineStr">
        <is>
          <t>Custo fixo</t>
        </is>
      </c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</row>
    <row r="26">
      <c r="A26" s="9" t="inlineStr">
        <is>
          <t>Sistemas, marketing e outros fixos</t>
        </is>
      </c>
      <c r="B26" s="10" t="inlineStr">
        <is>
          <t>Assinaturas (música, streaming, software)</t>
        </is>
      </c>
      <c r="C26" s="9" t="inlineStr">
        <is>
          <t>Custo fixo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</row>
    <row r="27">
      <c r="A27" s="9" t="inlineStr">
        <is>
          <t>Sistemas, marketing e outros fixos</t>
        </is>
      </c>
      <c r="B27" s="10" t="inlineStr">
        <is>
          <t>Outro fixo</t>
        </is>
      </c>
      <c r="C27" s="9" t="inlineStr">
        <is>
          <t>Custo fixo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  <row r="28">
      <c r="A28" s="9" t="inlineStr">
        <is>
          <t>Insumos e materiais</t>
        </is>
      </c>
      <c r="B28" s="10" t="inlineStr">
        <is>
          <t>Descartáveis (luvas, máscaras, lençóis, toucas)</t>
        </is>
      </c>
      <c r="C28" s="9" t="inlineStr">
        <is>
          <t>Custo variável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9" t="inlineStr">
        <is>
          <t>Insumos e materiais</t>
        </is>
      </c>
      <c r="B29" s="10" t="inlineStr">
        <is>
          <t>Cosméticos e ativos de uso profissional</t>
        </is>
      </c>
      <c r="C29" s="9" t="inlineStr">
        <is>
          <t>Custo variável</t>
        </is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</row>
    <row r="30">
      <c r="A30" s="9" t="inlineStr">
        <is>
          <t>Insumos e materiais</t>
        </is>
      </c>
      <c r="B30" s="10" t="inlineStr">
        <is>
          <t>Injetáveis e produtos de procedimento</t>
        </is>
      </c>
      <c r="C30" s="9" t="inlineStr">
        <is>
          <t>Custo variável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</row>
    <row r="31">
      <c r="A31" s="9" t="inlineStr">
        <is>
          <t>Insumos e materiais</t>
        </is>
      </c>
      <c r="B31" s="10" t="inlineStr">
        <is>
          <t>Lavanderia e enxoval</t>
        </is>
      </c>
      <c r="C31" s="9" t="inlineStr">
        <is>
          <t>Custo variável</t>
        </is>
      </c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</row>
    <row r="32">
      <c r="A32" s="9" t="inlineStr">
        <is>
          <t>Insumos e materiais</t>
        </is>
      </c>
      <c r="B32" s="10" t="inlineStr">
        <is>
          <t>Material de escritório e limpeza</t>
        </is>
      </c>
      <c r="C32" s="9" t="inlineStr">
        <is>
          <t>Custo variável</t>
        </is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</row>
    <row r="33">
      <c r="A33" s="9" t="inlineStr">
        <is>
          <t>Insumos e materiais</t>
        </is>
      </c>
      <c r="B33" s="10" t="inlineStr">
        <is>
          <t>Outro insumo</t>
        </is>
      </c>
      <c r="C33" s="9" t="inlineStr">
        <is>
          <t>Custo variável</t>
        </is>
      </c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</row>
    <row r="34">
      <c r="A34" s="9" t="inlineStr">
        <is>
          <t>Profissionais da assistência (repasse/folha)</t>
        </is>
      </c>
      <c r="B34" s="10" t="inlineStr">
        <is>
          <t>Repasse a profissionais (esteticistas, biomédicos, fisioterapeutas)</t>
        </is>
      </c>
      <c r="C34" s="9" t="inlineStr">
        <is>
          <t>Custo variável</t>
        </is>
      </c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</row>
    <row r="35">
      <c r="A35" s="9" t="inlineStr">
        <is>
          <t>Profissionais da assistência (repasse/folha)</t>
        </is>
      </c>
      <c r="B35" s="10" t="inlineStr">
        <is>
          <t>Folha de profissionais CLT da assistência</t>
        </is>
      </c>
      <c r="C35" s="9" t="inlineStr">
        <is>
          <t>Custo variável</t>
        </is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</row>
    <row r="36">
      <c r="A36" s="9" t="inlineStr">
        <is>
          <t>Profissionais da assistência (repasse/folha)</t>
        </is>
      </c>
      <c r="B36" s="10" t="inlineStr">
        <is>
          <t>Outro (assistência)</t>
        </is>
      </c>
      <c r="C36" s="9" t="inlineStr">
        <is>
          <t>Custo variável</t>
        </is>
      </c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</row>
    <row r="37">
      <c r="A37" s="9" t="inlineStr">
        <is>
          <t>Comissões e outros variáveis (opcional)</t>
        </is>
      </c>
      <c r="B37" s="10" t="inlineStr">
        <is>
          <t>Comissão por venda de pacote</t>
        </is>
      </c>
      <c r="C37" s="9" t="inlineStr">
        <is>
          <t>Custo variável</t>
        </is>
      </c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</row>
    <row r="38">
      <c r="A38" s="9" t="inlineStr">
        <is>
          <t>Comissões e outros variáveis (opcional)</t>
        </is>
      </c>
      <c r="B38" s="10" t="inlineStr">
        <is>
          <t>Comissão por indicação</t>
        </is>
      </c>
      <c r="C38" s="9" t="inlineStr">
        <is>
          <t>Custo variável</t>
        </is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</row>
    <row r="39">
      <c r="A39" s="9" t="inlineStr">
        <is>
          <t>Comissões e outros variáveis (opcional)</t>
        </is>
      </c>
      <c r="B39" s="10" t="inlineStr">
        <is>
          <t>Brindes e cortesias</t>
        </is>
      </c>
      <c r="C39" s="9" t="inlineStr">
        <is>
          <t>Custo variável</t>
        </is>
      </c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</row>
    <row r="40">
      <c r="A40" s="9" t="inlineStr">
        <is>
          <t>Comissões e outros variáveis (opcional)</t>
        </is>
      </c>
      <c r="B40" s="10" t="inlineStr">
        <is>
          <t>Outro variável</t>
        </is>
      </c>
      <c r="C40" s="9" t="inlineStr">
        <is>
          <t>Custo variável</t>
        </is>
      </c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</row>
    <row r="41">
      <c r="A41" s="9" t="inlineStr">
        <is>
          <t>Taxas de cartão e antecipação</t>
        </is>
      </c>
      <c r="B41" s="10" t="inlineStr">
        <is>
          <t>Taxa de cartão (débito/crédito)</t>
        </is>
      </c>
      <c r="C41" s="9" t="inlineStr">
        <is>
          <t>Custo variável</t>
        </is>
      </c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</row>
    <row r="42">
      <c r="A42" s="9" t="inlineStr">
        <is>
          <t>Taxas de cartão e antecipação</t>
        </is>
      </c>
      <c r="B42" s="10" t="inlineStr">
        <is>
          <t>Antecipação de recebíveis</t>
        </is>
      </c>
      <c r="C42" s="9" t="inlineStr">
        <is>
          <t>Custo variável</t>
        </is>
      </c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</row>
    <row r="43">
      <c r="A43" s="9" t="inlineStr">
        <is>
          <t>Taxas de cartão e antecipação</t>
        </is>
      </c>
      <c r="B43" s="10" t="inlineStr">
        <is>
          <t>Taxa de plataforma de pagamento / link</t>
        </is>
      </c>
      <c r="C43" s="9" t="inlineStr">
        <is>
          <t>Custo variável</t>
        </is>
      </c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</row>
    <row r="44">
      <c r="A44" s="9" t="inlineStr">
        <is>
          <t>Impostos pagos no mês (R$)</t>
        </is>
      </c>
      <c r="B44" s="10" t="inlineStr">
        <is>
          <t>DAS (Simples Nacional)</t>
        </is>
      </c>
      <c r="C44" s="9" t="inlineStr">
        <is>
          <t>Dedução</t>
        </is>
      </c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</row>
    <row r="45">
      <c r="A45" s="9" t="inlineStr">
        <is>
          <t>Impostos pagos no mês (R$)</t>
        </is>
      </c>
      <c r="B45" s="10" t="inlineStr">
        <is>
          <t>ISS</t>
        </is>
      </c>
      <c r="C45" s="9" t="inlineStr">
        <is>
          <t>Dedução</t>
        </is>
      </c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</row>
    <row r="46">
      <c r="A46" s="9" t="inlineStr">
        <is>
          <t>Impostos pagos no mês (R$)</t>
        </is>
      </c>
      <c r="B46" s="10" t="inlineStr">
        <is>
          <t>PIS/COFINS e retenções</t>
        </is>
      </c>
      <c r="C46" s="9" t="inlineStr">
        <is>
          <t>Dedução</t>
        </is>
      </c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</row>
    <row r="47">
      <c r="A47" s="9" t="inlineStr">
        <is>
          <t>Impostos pagos no mês (R$)</t>
        </is>
      </c>
      <c r="B47" s="10" t="inlineStr">
        <is>
          <t>Outros tributos</t>
        </is>
      </c>
      <c r="C47" s="9" t="inlineStr">
        <is>
          <t>Dedução</t>
        </is>
      </c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</row>
    <row r="48">
      <c r="A48" s="9" t="inlineStr">
        <is>
          <t>Descontos concedidos</t>
        </is>
      </c>
      <c r="B48" s="10" t="inlineStr">
        <is>
          <t>Descontos em pacotes e promoções</t>
        </is>
      </c>
      <c r="C48" s="9" t="inlineStr">
        <is>
          <t>Dedução</t>
        </is>
      </c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</row>
    <row r="49">
      <c r="A49" s="9" t="inlineStr">
        <is>
          <t>Descontos concedidos</t>
        </is>
      </c>
      <c r="B49" s="10" t="inlineStr">
        <is>
          <t>Cortesias e cancelamentos de cobrança</t>
        </is>
      </c>
      <c r="C49" s="9" t="inlineStr">
        <is>
          <t>Dedução</t>
        </is>
      </c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</row>
    <row r="50">
      <c r="A50" s="9" t="inlineStr">
        <is>
          <t>Despesas financeiras</t>
        </is>
      </c>
      <c r="B50" s="10" t="inlineStr">
        <is>
          <t>Juros e multas</t>
        </is>
      </c>
      <c r="C50" s="9" t="inlineStr">
        <is>
          <t>Financeiro</t>
        </is>
      </c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</row>
    <row r="51">
      <c r="A51" s="9" t="inlineStr">
        <is>
          <t>Despesas financeiras</t>
        </is>
      </c>
      <c r="B51" s="10" t="inlineStr">
        <is>
          <t>Tarifas bancárias</t>
        </is>
      </c>
      <c r="C51" s="9" t="inlineStr">
        <is>
          <t>Financeiro</t>
        </is>
      </c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</row>
    <row r="52">
      <c r="A52" s="9" t="inlineStr">
        <is>
          <t>Despesas financeiras</t>
        </is>
      </c>
      <c r="B52" s="10" t="inlineStr">
        <is>
          <t>IOF</t>
        </is>
      </c>
      <c r="C52" s="9" t="inlineStr">
        <is>
          <t>Financeiro</t>
        </is>
      </c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</row>
    <row r="53">
      <c r="A53" s="9" t="inlineStr">
        <is>
          <t>Parcelas de dívidas pagas no mês</t>
        </is>
      </c>
      <c r="B53" s="10" t="inlineStr">
        <is>
          <t>Parcela de empréstimo / financiamento</t>
        </is>
      </c>
      <c r="C53" s="9" t="inlineStr">
        <is>
          <t>Caixa</t>
        </is>
      </c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</row>
    <row r="54">
      <c r="A54" s="9" t="inlineStr">
        <is>
          <t>Parcelas de dívidas pagas no mês</t>
        </is>
      </c>
      <c r="B54" s="10" t="inlineStr">
        <is>
          <t>Parcela de equipamento financiado</t>
        </is>
      </c>
      <c r="C54" s="9" t="inlineStr">
        <is>
          <t>Caixa</t>
        </is>
      </c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</row>
    <row r="55">
      <c r="A55" s="9" t="inlineStr">
        <is>
          <t>Saldo devedor de empréstimos</t>
        </is>
      </c>
      <c r="B55" s="10" t="inlineStr">
        <is>
          <t>Saldo devedor total</t>
        </is>
      </c>
      <c r="C55" s="9" t="inlineStr">
        <is>
          <t>Posição</t>
        </is>
      </c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</row>
    <row r="56">
      <c r="A56" s="9" t="inlineStr">
        <is>
          <t>Saldo de caixa no fim do mês</t>
        </is>
      </c>
      <c r="B56" s="10" t="inlineStr">
        <is>
          <t>Saldo em conta e aplicações de resgate imediato</t>
        </is>
      </c>
      <c r="C56" s="9" t="inlineStr">
        <is>
          <t>Posição</t>
        </is>
      </c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</row>
    <row r="58">
      <c r="B58" s="12" t="inlineStr">
        <is>
          <t>Total de saídas do mês (sem saldos)</t>
        </is>
      </c>
      <c r="D58" s="13">
        <f>SUMIF($C$5:$C$56,"&lt;&gt;Posição",D5:D56)</f>
        <v/>
      </c>
      <c r="E58" s="13">
        <f>SUMIF($C$5:$C$56,"&lt;&gt;Posição",E5:E56)</f>
        <v/>
      </c>
      <c r="F58" s="13">
        <f>SUMIF($C$5:$C$56,"&lt;&gt;Posição",F5:F56)</f>
        <v/>
      </c>
      <c r="G58" s="13">
        <f>SUMIF($C$5:$C$56,"&lt;&gt;Posição",G5:G56)</f>
        <v/>
      </c>
      <c r="H58" s="13">
        <f>SUMIF($C$5:$C$56,"&lt;&gt;Posição",H5:H56)</f>
        <v/>
      </c>
      <c r="I58" s="13">
        <f>SUMIF($C$5:$C$56,"&lt;&gt;Posição",I5:I56)</f>
        <v/>
      </c>
      <c r="J58" s="13">
        <f>SUMIF($C$5:$C$56,"&lt;&gt;Posição",J5:J56)</f>
        <v/>
      </c>
      <c r="K58" s="13">
        <f>SUMIF($C$5:$C$56,"&lt;&gt;Posição",K5:K56)</f>
        <v/>
      </c>
      <c r="L58" s="13">
        <f>SUMIF($C$5:$C$56,"&lt;&gt;Posição",L5:L56)</f>
        <v/>
      </c>
      <c r="M58" s="13">
        <f>SUMIF($C$5:$C$56,"&lt;&gt;Posição",M5:M56)</f>
        <v/>
      </c>
      <c r="N58" s="13">
        <f>SUMIF($C$5:$C$56,"&lt;&gt;Posição",N5:N56)</f>
        <v/>
      </c>
      <c r="O58" s="13">
        <f>SUMIF($C$5:$C$56,"&lt;&gt;Posição",O5:O56)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48" customHeight="1">
      <c r="A1" s="14" t="inlineStr">
        <is>
          <t>Competência</t>
        </is>
      </c>
      <c r="B1" s="14" t="inlineStr">
        <is>
          <t>Equipe administrativa e pró-labore</t>
        </is>
      </c>
      <c r="C1" s="14" t="inlineStr">
        <is>
          <t>Aluguel, condomínio e utilidades</t>
        </is>
      </c>
      <c r="D1" s="14" t="inlineStr">
        <is>
          <t>Sistemas, marketing e outros fixos</t>
        </is>
      </c>
      <c r="E1" s="14" t="inlineStr">
        <is>
          <t>Insumos e materiais</t>
        </is>
      </c>
      <c r="F1" s="14" t="inlineStr">
        <is>
          <t>Profissionais da assistência (repasse/folha)</t>
        </is>
      </c>
      <c r="G1" s="14" t="inlineStr">
        <is>
          <t>Comissões e outros variáveis (opcional)</t>
        </is>
      </c>
      <c r="H1" s="14" t="inlineStr">
        <is>
          <t>Taxas de cartão e antecipação</t>
        </is>
      </c>
      <c r="I1" s="14" t="inlineStr">
        <is>
          <t>Impostos pagos no mês (R$)</t>
        </is>
      </c>
      <c r="J1" s="14" t="inlineStr">
        <is>
          <t>Descontos concedidos</t>
        </is>
      </c>
      <c r="K1" s="14" t="inlineStr">
        <is>
          <t>Despesas financeiras</t>
        </is>
      </c>
      <c r="L1" s="14" t="inlineStr">
        <is>
          <t>Parcelas de dívidas pagas no mês</t>
        </is>
      </c>
      <c r="M1" s="14" t="inlineStr">
        <is>
          <t>Saldo devedor de empréstimos</t>
        </is>
      </c>
      <c r="N1" s="14" t="inlineStr">
        <is>
          <t>Saldo de caixa no fim do mês</t>
        </is>
      </c>
    </row>
    <row r="2">
      <c r="A2">
        <f>'Custos por mês'!D4</f>
        <v/>
      </c>
      <c r="B2" s="15">
        <f>IF(SUMIF('Custos por mês'!$A$5:$A$56,"Equipe administrativa e pró-labore",'Custos por mês'!D$5:D$56)=0,"",SUMIF('Custos por mês'!$A$5:$A$56,"Equipe administrativa e pró-labore",'Custos por mês'!D$5:D$56))</f>
        <v/>
      </c>
      <c r="C2" s="15">
        <f>IF(SUMIF('Custos por mês'!$A$5:$A$56,"Aluguel, condomínio e utilidades",'Custos por mês'!D$5:D$56)=0,"",SUMIF('Custos por mês'!$A$5:$A$56,"Aluguel, condomínio e utilidades",'Custos por mês'!D$5:D$56))</f>
        <v/>
      </c>
      <c r="D2" s="15">
        <f>IF(SUMIF('Custos por mês'!$A$5:$A$56,"Sistemas, marketing e outros fixos",'Custos por mês'!D$5:D$56)=0,"",SUMIF('Custos por mês'!$A$5:$A$56,"Sistemas, marketing e outros fixos",'Custos por mês'!D$5:D$56))</f>
        <v/>
      </c>
      <c r="E2" s="15">
        <f>IF(SUMIF('Custos por mês'!$A$5:$A$56,"Insumos e materiais",'Custos por mês'!D$5:D$56)=0,"",SUMIF('Custos por mês'!$A$5:$A$56,"Insumos e materiais",'Custos por mês'!D$5:D$56))</f>
        <v/>
      </c>
      <c r="F2" s="15">
        <f>IF(SUMIF('Custos por mês'!$A$5:$A$56,"Profissionais da assistência (repasse/folha)",'Custos por mês'!D$5:D$56)=0,"",SUMIF('Custos por mês'!$A$5:$A$56,"Profissionais da assistência (repasse/folha)",'Custos por mês'!D$5:D$56))</f>
        <v/>
      </c>
      <c r="G2" s="15">
        <f>IF(SUMIF('Custos por mês'!$A$5:$A$56,"Comissões e outros variáveis (opcional)",'Custos por mês'!D$5:D$56)=0,"",SUMIF('Custos por mês'!$A$5:$A$56,"Comissões e outros variáveis (opcional)",'Custos por mês'!D$5:D$56))</f>
        <v/>
      </c>
      <c r="H2" s="15">
        <f>IF(SUMIF('Custos por mês'!$A$5:$A$56,"Taxas de cartão e antecipação",'Custos por mês'!D$5:D$56)=0,"",SUMIF('Custos por mês'!$A$5:$A$56,"Taxas de cartão e antecipação",'Custos por mês'!D$5:D$56))</f>
        <v/>
      </c>
      <c r="I2" s="15">
        <f>IF(SUMIF('Custos por mês'!$A$5:$A$56,"Impostos pagos no mês (R$)",'Custos por mês'!D$5:D$56)=0,"",SUMIF('Custos por mês'!$A$5:$A$56,"Impostos pagos no mês (R$)",'Custos por mês'!D$5:D$56))</f>
        <v/>
      </c>
      <c r="J2" s="15">
        <f>IF(SUMIF('Custos por mês'!$A$5:$A$56,"Descontos concedidos",'Custos por mês'!D$5:D$56)=0,"",SUMIF('Custos por mês'!$A$5:$A$56,"Descontos concedidos",'Custos por mês'!D$5:D$56))</f>
        <v/>
      </c>
      <c r="K2" s="15">
        <f>IF(SUMIF('Custos por mês'!$A$5:$A$56,"Despesas financeiras",'Custos por mês'!D$5:D$56)=0,"",SUMIF('Custos por mês'!$A$5:$A$56,"Despesas financeiras",'Custos por mês'!D$5:D$56))</f>
        <v/>
      </c>
      <c r="L2" s="15">
        <f>IF(SUMIF('Custos por mês'!$A$5:$A$56,"Parcelas de dívidas pagas no mês",'Custos por mês'!D$5:D$56)=0,"",SUMIF('Custos por mês'!$A$5:$A$56,"Parcelas de dívidas pagas no mês",'Custos por mês'!D$5:D$56))</f>
        <v/>
      </c>
      <c r="M2" s="15">
        <f>IF(SUMIF('Custos por mês'!$A$5:$A$56,"Saldo devedor de empréstimos",'Custos por mês'!D$5:D$56)=0,"",SUMIF('Custos por mês'!$A$5:$A$56,"Saldo devedor de empréstimos",'Custos por mês'!D$5:D$56))</f>
        <v/>
      </c>
      <c r="N2" s="15">
        <f>IF(SUMIF('Custos por mês'!$A$5:$A$56,"Saldo de caixa no fim do mês",'Custos por mês'!D$5:D$56)=0,"",SUMIF('Custos por mês'!$A$5:$A$56,"Saldo de caixa no fim do mês",'Custos por mês'!D$5:D$56))</f>
        <v/>
      </c>
    </row>
    <row r="3">
      <c r="A3">
        <f>'Custos por mês'!E4</f>
        <v/>
      </c>
      <c r="B3" s="15">
        <f>IF(SUMIF('Custos por mês'!$A$5:$A$56,"Equipe administrativa e pró-labore",'Custos por mês'!E$5:E$56)=0,"",SUMIF('Custos por mês'!$A$5:$A$56,"Equipe administrativa e pró-labore",'Custos por mês'!E$5:E$56))</f>
        <v/>
      </c>
      <c r="C3" s="15">
        <f>IF(SUMIF('Custos por mês'!$A$5:$A$56,"Aluguel, condomínio e utilidades",'Custos por mês'!E$5:E$56)=0,"",SUMIF('Custos por mês'!$A$5:$A$56,"Aluguel, condomínio e utilidades",'Custos por mês'!E$5:E$56))</f>
        <v/>
      </c>
      <c r="D3" s="15">
        <f>IF(SUMIF('Custos por mês'!$A$5:$A$56,"Sistemas, marketing e outros fixos",'Custos por mês'!E$5:E$56)=0,"",SUMIF('Custos por mês'!$A$5:$A$56,"Sistemas, marketing e outros fixos",'Custos por mês'!E$5:E$56))</f>
        <v/>
      </c>
      <c r="E3" s="15">
        <f>IF(SUMIF('Custos por mês'!$A$5:$A$56,"Insumos e materiais",'Custos por mês'!E$5:E$56)=0,"",SUMIF('Custos por mês'!$A$5:$A$56,"Insumos e materiais",'Custos por mês'!E$5:E$56))</f>
        <v/>
      </c>
      <c r="F3" s="15">
        <f>IF(SUMIF('Custos por mês'!$A$5:$A$56,"Profissionais da assistência (repasse/folha)",'Custos por mês'!E$5:E$56)=0,"",SUMIF('Custos por mês'!$A$5:$A$56,"Profissionais da assistência (repasse/folha)",'Custos por mês'!E$5:E$56))</f>
        <v/>
      </c>
      <c r="G3" s="15">
        <f>IF(SUMIF('Custos por mês'!$A$5:$A$56,"Comissões e outros variáveis (opcional)",'Custos por mês'!E$5:E$56)=0,"",SUMIF('Custos por mês'!$A$5:$A$56,"Comissões e outros variáveis (opcional)",'Custos por mês'!E$5:E$56))</f>
        <v/>
      </c>
      <c r="H3" s="15">
        <f>IF(SUMIF('Custos por mês'!$A$5:$A$56,"Taxas de cartão e antecipação",'Custos por mês'!E$5:E$56)=0,"",SUMIF('Custos por mês'!$A$5:$A$56,"Taxas de cartão e antecipação",'Custos por mês'!E$5:E$56))</f>
        <v/>
      </c>
      <c r="I3" s="15">
        <f>IF(SUMIF('Custos por mês'!$A$5:$A$56,"Impostos pagos no mês (R$)",'Custos por mês'!E$5:E$56)=0,"",SUMIF('Custos por mês'!$A$5:$A$56,"Impostos pagos no mês (R$)",'Custos por mês'!E$5:E$56))</f>
        <v/>
      </c>
      <c r="J3" s="15">
        <f>IF(SUMIF('Custos por mês'!$A$5:$A$56,"Descontos concedidos",'Custos por mês'!E$5:E$56)=0,"",SUMIF('Custos por mês'!$A$5:$A$56,"Descontos concedidos",'Custos por mês'!E$5:E$56))</f>
        <v/>
      </c>
      <c r="K3" s="15">
        <f>IF(SUMIF('Custos por mês'!$A$5:$A$56,"Despesas financeiras",'Custos por mês'!E$5:E$56)=0,"",SUMIF('Custos por mês'!$A$5:$A$56,"Despesas financeiras",'Custos por mês'!E$5:E$56))</f>
        <v/>
      </c>
      <c r="L3" s="15">
        <f>IF(SUMIF('Custos por mês'!$A$5:$A$56,"Parcelas de dívidas pagas no mês",'Custos por mês'!E$5:E$56)=0,"",SUMIF('Custos por mês'!$A$5:$A$56,"Parcelas de dívidas pagas no mês",'Custos por mês'!E$5:E$56))</f>
        <v/>
      </c>
      <c r="M3" s="15">
        <f>IF(SUMIF('Custos por mês'!$A$5:$A$56,"Saldo devedor de empréstimos",'Custos por mês'!E$5:E$56)=0,"",SUMIF('Custos por mês'!$A$5:$A$56,"Saldo devedor de empréstimos",'Custos por mês'!E$5:E$56))</f>
        <v/>
      </c>
      <c r="N3" s="15">
        <f>IF(SUMIF('Custos por mês'!$A$5:$A$56,"Saldo de caixa no fim do mês",'Custos por mês'!E$5:E$56)=0,"",SUMIF('Custos por mês'!$A$5:$A$56,"Saldo de caixa no fim do mês",'Custos por mês'!E$5:E$56))</f>
        <v/>
      </c>
    </row>
    <row r="4">
      <c r="A4">
        <f>'Custos por mês'!F4</f>
        <v/>
      </c>
      <c r="B4" s="15">
        <f>IF(SUMIF('Custos por mês'!$A$5:$A$56,"Equipe administrativa e pró-labore",'Custos por mês'!F$5:F$56)=0,"",SUMIF('Custos por mês'!$A$5:$A$56,"Equipe administrativa e pró-labore",'Custos por mês'!F$5:F$56))</f>
        <v/>
      </c>
      <c r="C4" s="15">
        <f>IF(SUMIF('Custos por mês'!$A$5:$A$56,"Aluguel, condomínio e utilidades",'Custos por mês'!F$5:F$56)=0,"",SUMIF('Custos por mês'!$A$5:$A$56,"Aluguel, condomínio e utilidades",'Custos por mês'!F$5:F$56))</f>
        <v/>
      </c>
      <c r="D4" s="15">
        <f>IF(SUMIF('Custos por mês'!$A$5:$A$56,"Sistemas, marketing e outros fixos",'Custos por mês'!F$5:F$56)=0,"",SUMIF('Custos por mês'!$A$5:$A$56,"Sistemas, marketing e outros fixos",'Custos por mês'!F$5:F$56))</f>
        <v/>
      </c>
      <c r="E4" s="15">
        <f>IF(SUMIF('Custos por mês'!$A$5:$A$56,"Insumos e materiais",'Custos por mês'!F$5:F$56)=0,"",SUMIF('Custos por mês'!$A$5:$A$56,"Insumos e materiais",'Custos por mês'!F$5:F$56))</f>
        <v/>
      </c>
      <c r="F4" s="15">
        <f>IF(SUMIF('Custos por mês'!$A$5:$A$56,"Profissionais da assistência (repasse/folha)",'Custos por mês'!F$5:F$56)=0,"",SUMIF('Custos por mês'!$A$5:$A$56,"Profissionais da assistência (repasse/folha)",'Custos por mês'!F$5:F$56))</f>
        <v/>
      </c>
      <c r="G4" s="15">
        <f>IF(SUMIF('Custos por mês'!$A$5:$A$56,"Comissões e outros variáveis (opcional)",'Custos por mês'!F$5:F$56)=0,"",SUMIF('Custos por mês'!$A$5:$A$56,"Comissões e outros variáveis (opcional)",'Custos por mês'!F$5:F$56))</f>
        <v/>
      </c>
      <c r="H4" s="15">
        <f>IF(SUMIF('Custos por mês'!$A$5:$A$56,"Taxas de cartão e antecipação",'Custos por mês'!F$5:F$56)=0,"",SUMIF('Custos por mês'!$A$5:$A$56,"Taxas de cartão e antecipação",'Custos por mês'!F$5:F$56))</f>
        <v/>
      </c>
      <c r="I4" s="15">
        <f>IF(SUMIF('Custos por mês'!$A$5:$A$56,"Impostos pagos no mês (R$)",'Custos por mês'!F$5:F$56)=0,"",SUMIF('Custos por mês'!$A$5:$A$56,"Impostos pagos no mês (R$)",'Custos por mês'!F$5:F$56))</f>
        <v/>
      </c>
      <c r="J4" s="15">
        <f>IF(SUMIF('Custos por mês'!$A$5:$A$56,"Descontos concedidos",'Custos por mês'!F$5:F$56)=0,"",SUMIF('Custos por mês'!$A$5:$A$56,"Descontos concedidos",'Custos por mês'!F$5:F$56))</f>
        <v/>
      </c>
      <c r="K4" s="15">
        <f>IF(SUMIF('Custos por mês'!$A$5:$A$56,"Despesas financeiras",'Custos por mês'!F$5:F$56)=0,"",SUMIF('Custos por mês'!$A$5:$A$56,"Despesas financeiras",'Custos por mês'!F$5:F$56))</f>
        <v/>
      </c>
      <c r="L4" s="15">
        <f>IF(SUMIF('Custos por mês'!$A$5:$A$56,"Parcelas de dívidas pagas no mês",'Custos por mês'!F$5:F$56)=0,"",SUMIF('Custos por mês'!$A$5:$A$56,"Parcelas de dívidas pagas no mês",'Custos por mês'!F$5:F$56))</f>
        <v/>
      </c>
      <c r="M4" s="15">
        <f>IF(SUMIF('Custos por mês'!$A$5:$A$56,"Saldo devedor de empréstimos",'Custos por mês'!F$5:F$56)=0,"",SUMIF('Custos por mês'!$A$5:$A$56,"Saldo devedor de empréstimos",'Custos por mês'!F$5:F$56))</f>
        <v/>
      </c>
      <c r="N4" s="15">
        <f>IF(SUMIF('Custos por mês'!$A$5:$A$56,"Saldo de caixa no fim do mês",'Custos por mês'!F$5:F$56)=0,"",SUMIF('Custos por mês'!$A$5:$A$56,"Saldo de caixa no fim do mês",'Custos por mês'!F$5:F$56))</f>
        <v/>
      </c>
    </row>
    <row r="5">
      <c r="A5">
        <f>'Custos por mês'!G4</f>
        <v/>
      </c>
      <c r="B5" s="15">
        <f>IF(SUMIF('Custos por mês'!$A$5:$A$56,"Equipe administrativa e pró-labore",'Custos por mês'!G$5:G$56)=0,"",SUMIF('Custos por mês'!$A$5:$A$56,"Equipe administrativa e pró-labore",'Custos por mês'!G$5:G$56))</f>
        <v/>
      </c>
      <c r="C5" s="15">
        <f>IF(SUMIF('Custos por mês'!$A$5:$A$56,"Aluguel, condomínio e utilidades",'Custos por mês'!G$5:G$56)=0,"",SUMIF('Custos por mês'!$A$5:$A$56,"Aluguel, condomínio e utilidades",'Custos por mês'!G$5:G$56))</f>
        <v/>
      </c>
      <c r="D5" s="15">
        <f>IF(SUMIF('Custos por mês'!$A$5:$A$56,"Sistemas, marketing e outros fixos",'Custos por mês'!G$5:G$56)=0,"",SUMIF('Custos por mês'!$A$5:$A$56,"Sistemas, marketing e outros fixos",'Custos por mês'!G$5:G$56))</f>
        <v/>
      </c>
      <c r="E5" s="15">
        <f>IF(SUMIF('Custos por mês'!$A$5:$A$56,"Insumos e materiais",'Custos por mês'!G$5:G$56)=0,"",SUMIF('Custos por mês'!$A$5:$A$56,"Insumos e materiais",'Custos por mês'!G$5:G$56))</f>
        <v/>
      </c>
      <c r="F5" s="15">
        <f>IF(SUMIF('Custos por mês'!$A$5:$A$56,"Profissionais da assistência (repasse/folha)",'Custos por mês'!G$5:G$56)=0,"",SUMIF('Custos por mês'!$A$5:$A$56,"Profissionais da assistência (repasse/folha)",'Custos por mês'!G$5:G$56))</f>
        <v/>
      </c>
      <c r="G5" s="15">
        <f>IF(SUMIF('Custos por mês'!$A$5:$A$56,"Comissões e outros variáveis (opcional)",'Custos por mês'!G$5:G$56)=0,"",SUMIF('Custos por mês'!$A$5:$A$56,"Comissões e outros variáveis (opcional)",'Custos por mês'!G$5:G$56))</f>
        <v/>
      </c>
      <c r="H5" s="15">
        <f>IF(SUMIF('Custos por mês'!$A$5:$A$56,"Taxas de cartão e antecipação",'Custos por mês'!G$5:G$56)=0,"",SUMIF('Custos por mês'!$A$5:$A$56,"Taxas de cartão e antecipação",'Custos por mês'!G$5:G$56))</f>
        <v/>
      </c>
      <c r="I5" s="15">
        <f>IF(SUMIF('Custos por mês'!$A$5:$A$56,"Impostos pagos no mês (R$)",'Custos por mês'!G$5:G$56)=0,"",SUMIF('Custos por mês'!$A$5:$A$56,"Impostos pagos no mês (R$)",'Custos por mês'!G$5:G$56))</f>
        <v/>
      </c>
      <c r="J5" s="15">
        <f>IF(SUMIF('Custos por mês'!$A$5:$A$56,"Descontos concedidos",'Custos por mês'!G$5:G$56)=0,"",SUMIF('Custos por mês'!$A$5:$A$56,"Descontos concedidos",'Custos por mês'!G$5:G$56))</f>
        <v/>
      </c>
      <c r="K5" s="15">
        <f>IF(SUMIF('Custos por mês'!$A$5:$A$56,"Despesas financeiras",'Custos por mês'!G$5:G$56)=0,"",SUMIF('Custos por mês'!$A$5:$A$56,"Despesas financeiras",'Custos por mês'!G$5:G$56))</f>
        <v/>
      </c>
      <c r="L5" s="15">
        <f>IF(SUMIF('Custos por mês'!$A$5:$A$56,"Parcelas de dívidas pagas no mês",'Custos por mês'!G$5:G$56)=0,"",SUMIF('Custos por mês'!$A$5:$A$56,"Parcelas de dívidas pagas no mês",'Custos por mês'!G$5:G$56))</f>
        <v/>
      </c>
      <c r="M5" s="15">
        <f>IF(SUMIF('Custos por mês'!$A$5:$A$56,"Saldo devedor de empréstimos",'Custos por mês'!G$5:G$56)=0,"",SUMIF('Custos por mês'!$A$5:$A$56,"Saldo devedor de empréstimos",'Custos por mês'!G$5:G$56))</f>
        <v/>
      </c>
      <c r="N5" s="15">
        <f>IF(SUMIF('Custos por mês'!$A$5:$A$56,"Saldo de caixa no fim do mês",'Custos por mês'!G$5:G$56)=0,"",SUMIF('Custos por mês'!$A$5:$A$56,"Saldo de caixa no fim do mês",'Custos por mês'!G$5:G$56))</f>
        <v/>
      </c>
    </row>
    <row r="6">
      <c r="A6">
        <f>'Custos por mês'!H4</f>
        <v/>
      </c>
      <c r="B6" s="15">
        <f>IF(SUMIF('Custos por mês'!$A$5:$A$56,"Equipe administrativa e pró-labore",'Custos por mês'!H$5:H$56)=0,"",SUMIF('Custos por mês'!$A$5:$A$56,"Equipe administrativa e pró-labore",'Custos por mês'!H$5:H$56))</f>
        <v/>
      </c>
      <c r="C6" s="15">
        <f>IF(SUMIF('Custos por mês'!$A$5:$A$56,"Aluguel, condomínio e utilidades",'Custos por mês'!H$5:H$56)=0,"",SUMIF('Custos por mês'!$A$5:$A$56,"Aluguel, condomínio e utilidades",'Custos por mês'!H$5:H$56))</f>
        <v/>
      </c>
      <c r="D6" s="15">
        <f>IF(SUMIF('Custos por mês'!$A$5:$A$56,"Sistemas, marketing e outros fixos",'Custos por mês'!H$5:H$56)=0,"",SUMIF('Custos por mês'!$A$5:$A$56,"Sistemas, marketing e outros fixos",'Custos por mês'!H$5:H$56))</f>
        <v/>
      </c>
      <c r="E6" s="15">
        <f>IF(SUMIF('Custos por mês'!$A$5:$A$56,"Insumos e materiais",'Custos por mês'!H$5:H$56)=0,"",SUMIF('Custos por mês'!$A$5:$A$56,"Insumos e materiais",'Custos por mês'!H$5:H$56))</f>
        <v/>
      </c>
      <c r="F6" s="15">
        <f>IF(SUMIF('Custos por mês'!$A$5:$A$56,"Profissionais da assistência (repasse/folha)",'Custos por mês'!H$5:H$56)=0,"",SUMIF('Custos por mês'!$A$5:$A$56,"Profissionais da assistência (repasse/folha)",'Custos por mês'!H$5:H$56))</f>
        <v/>
      </c>
      <c r="G6" s="15">
        <f>IF(SUMIF('Custos por mês'!$A$5:$A$56,"Comissões e outros variáveis (opcional)",'Custos por mês'!H$5:H$56)=0,"",SUMIF('Custos por mês'!$A$5:$A$56,"Comissões e outros variáveis (opcional)",'Custos por mês'!H$5:H$56))</f>
        <v/>
      </c>
      <c r="H6" s="15">
        <f>IF(SUMIF('Custos por mês'!$A$5:$A$56,"Taxas de cartão e antecipação",'Custos por mês'!H$5:H$56)=0,"",SUMIF('Custos por mês'!$A$5:$A$56,"Taxas de cartão e antecipação",'Custos por mês'!H$5:H$56))</f>
        <v/>
      </c>
      <c r="I6" s="15">
        <f>IF(SUMIF('Custos por mês'!$A$5:$A$56,"Impostos pagos no mês (R$)",'Custos por mês'!H$5:H$56)=0,"",SUMIF('Custos por mês'!$A$5:$A$56,"Impostos pagos no mês (R$)",'Custos por mês'!H$5:H$56))</f>
        <v/>
      </c>
      <c r="J6" s="15">
        <f>IF(SUMIF('Custos por mês'!$A$5:$A$56,"Descontos concedidos",'Custos por mês'!H$5:H$56)=0,"",SUMIF('Custos por mês'!$A$5:$A$56,"Descontos concedidos",'Custos por mês'!H$5:H$56))</f>
        <v/>
      </c>
      <c r="K6" s="15">
        <f>IF(SUMIF('Custos por mês'!$A$5:$A$56,"Despesas financeiras",'Custos por mês'!H$5:H$56)=0,"",SUMIF('Custos por mês'!$A$5:$A$56,"Despesas financeiras",'Custos por mês'!H$5:H$56))</f>
        <v/>
      </c>
      <c r="L6" s="15">
        <f>IF(SUMIF('Custos por mês'!$A$5:$A$56,"Parcelas de dívidas pagas no mês",'Custos por mês'!H$5:H$56)=0,"",SUMIF('Custos por mês'!$A$5:$A$56,"Parcelas de dívidas pagas no mês",'Custos por mês'!H$5:H$56))</f>
        <v/>
      </c>
      <c r="M6" s="15">
        <f>IF(SUMIF('Custos por mês'!$A$5:$A$56,"Saldo devedor de empréstimos",'Custos por mês'!H$5:H$56)=0,"",SUMIF('Custos por mês'!$A$5:$A$56,"Saldo devedor de empréstimos",'Custos por mês'!H$5:H$56))</f>
        <v/>
      </c>
      <c r="N6" s="15">
        <f>IF(SUMIF('Custos por mês'!$A$5:$A$56,"Saldo de caixa no fim do mês",'Custos por mês'!H$5:H$56)=0,"",SUMIF('Custos por mês'!$A$5:$A$56,"Saldo de caixa no fim do mês",'Custos por mês'!H$5:H$56))</f>
        <v/>
      </c>
    </row>
    <row r="7">
      <c r="A7">
        <f>'Custos por mês'!I4</f>
        <v/>
      </c>
      <c r="B7" s="15">
        <f>IF(SUMIF('Custos por mês'!$A$5:$A$56,"Equipe administrativa e pró-labore",'Custos por mês'!I$5:I$56)=0,"",SUMIF('Custos por mês'!$A$5:$A$56,"Equipe administrativa e pró-labore",'Custos por mês'!I$5:I$56))</f>
        <v/>
      </c>
      <c r="C7" s="15">
        <f>IF(SUMIF('Custos por mês'!$A$5:$A$56,"Aluguel, condomínio e utilidades",'Custos por mês'!I$5:I$56)=0,"",SUMIF('Custos por mês'!$A$5:$A$56,"Aluguel, condomínio e utilidades",'Custos por mês'!I$5:I$56))</f>
        <v/>
      </c>
      <c r="D7" s="15">
        <f>IF(SUMIF('Custos por mês'!$A$5:$A$56,"Sistemas, marketing e outros fixos",'Custos por mês'!I$5:I$56)=0,"",SUMIF('Custos por mês'!$A$5:$A$56,"Sistemas, marketing e outros fixos",'Custos por mês'!I$5:I$56))</f>
        <v/>
      </c>
      <c r="E7" s="15">
        <f>IF(SUMIF('Custos por mês'!$A$5:$A$56,"Insumos e materiais",'Custos por mês'!I$5:I$56)=0,"",SUMIF('Custos por mês'!$A$5:$A$56,"Insumos e materiais",'Custos por mês'!I$5:I$56))</f>
        <v/>
      </c>
      <c r="F7" s="15">
        <f>IF(SUMIF('Custos por mês'!$A$5:$A$56,"Profissionais da assistência (repasse/folha)",'Custos por mês'!I$5:I$56)=0,"",SUMIF('Custos por mês'!$A$5:$A$56,"Profissionais da assistência (repasse/folha)",'Custos por mês'!I$5:I$56))</f>
        <v/>
      </c>
      <c r="G7" s="15">
        <f>IF(SUMIF('Custos por mês'!$A$5:$A$56,"Comissões e outros variáveis (opcional)",'Custos por mês'!I$5:I$56)=0,"",SUMIF('Custos por mês'!$A$5:$A$56,"Comissões e outros variáveis (opcional)",'Custos por mês'!I$5:I$56))</f>
        <v/>
      </c>
      <c r="H7" s="15">
        <f>IF(SUMIF('Custos por mês'!$A$5:$A$56,"Taxas de cartão e antecipação",'Custos por mês'!I$5:I$56)=0,"",SUMIF('Custos por mês'!$A$5:$A$56,"Taxas de cartão e antecipação",'Custos por mês'!I$5:I$56))</f>
        <v/>
      </c>
      <c r="I7" s="15">
        <f>IF(SUMIF('Custos por mês'!$A$5:$A$56,"Impostos pagos no mês (R$)",'Custos por mês'!I$5:I$56)=0,"",SUMIF('Custos por mês'!$A$5:$A$56,"Impostos pagos no mês (R$)",'Custos por mês'!I$5:I$56))</f>
        <v/>
      </c>
      <c r="J7" s="15">
        <f>IF(SUMIF('Custos por mês'!$A$5:$A$56,"Descontos concedidos",'Custos por mês'!I$5:I$56)=0,"",SUMIF('Custos por mês'!$A$5:$A$56,"Descontos concedidos",'Custos por mês'!I$5:I$56))</f>
        <v/>
      </c>
      <c r="K7" s="15">
        <f>IF(SUMIF('Custos por mês'!$A$5:$A$56,"Despesas financeiras",'Custos por mês'!I$5:I$56)=0,"",SUMIF('Custos por mês'!$A$5:$A$56,"Despesas financeiras",'Custos por mês'!I$5:I$56))</f>
        <v/>
      </c>
      <c r="L7" s="15">
        <f>IF(SUMIF('Custos por mês'!$A$5:$A$56,"Parcelas de dívidas pagas no mês",'Custos por mês'!I$5:I$56)=0,"",SUMIF('Custos por mês'!$A$5:$A$56,"Parcelas de dívidas pagas no mês",'Custos por mês'!I$5:I$56))</f>
        <v/>
      </c>
      <c r="M7" s="15">
        <f>IF(SUMIF('Custos por mês'!$A$5:$A$56,"Saldo devedor de empréstimos",'Custos por mês'!I$5:I$56)=0,"",SUMIF('Custos por mês'!$A$5:$A$56,"Saldo devedor de empréstimos",'Custos por mês'!I$5:I$56))</f>
        <v/>
      </c>
      <c r="N7" s="15">
        <f>IF(SUMIF('Custos por mês'!$A$5:$A$56,"Saldo de caixa no fim do mês",'Custos por mês'!I$5:I$56)=0,"",SUMIF('Custos por mês'!$A$5:$A$56,"Saldo de caixa no fim do mês",'Custos por mês'!I$5:I$56))</f>
        <v/>
      </c>
    </row>
    <row r="8">
      <c r="A8">
        <f>'Custos por mês'!J4</f>
        <v/>
      </c>
      <c r="B8" s="15">
        <f>IF(SUMIF('Custos por mês'!$A$5:$A$56,"Equipe administrativa e pró-labore",'Custos por mês'!J$5:J$56)=0,"",SUMIF('Custos por mês'!$A$5:$A$56,"Equipe administrativa e pró-labore",'Custos por mês'!J$5:J$56))</f>
        <v/>
      </c>
      <c r="C8" s="15">
        <f>IF(SUMIF('Custos por mês'!$A$5:$A$56,"Aluguel, condomínio e utilidades",'Custos por mês'!J$5:J$56)=0,"",SUMIF('Custos por mês'!$A$5:$A$56,"Aluguel, condomínio e utilidades",'Custos por mês'!J$5:J$56))</f>
        <v/>
      </c>
      <c r="D8" s="15">
        <f>IF(SUMIF('Custos por mês'!$A$5:$A$56,"Sistemas, marketing e outros fixos",'Custos por mês'!J$5:J$56)=0,"",SUMIF('Custos por mês'!$A$5:$A$56,"Sistemas, marketing e outros fixos",'Custos por mês'!J$5:J$56))</f>
        <v/>
      </c>
      <c r="E8" s="15">
        <f>IF(SUMIF('Custos por mês'!$A$5:$A$56,"Insumos e materiais",'Custos por mês'!J$5:J$56)=0,"",SUMIF('Custos por mês'!$A$5:$A$56,"Insumos e materiais",'Custos por mês'!J$5:J$56))</f>
        <v/>
      </c>
      <c r="F8" s="15">
        <f>IF(SUMIF('Custos por mês'!$A$5:$A$56,"Profissionais da assistência (repasse/folha)",'Custos por mês'!J$5:J$56)=0,"",SUMIF('Custos por mês'!$A$5:$A$56,"Profissionais da assistência (repasse/folha)",'Custos por mês'!J$5:J$56))</f>
        <v/>
      </c>
      <c r="G8" s="15">
        <f>IF(SUMIF('Custos por mês'!$A$5:$A$56,"Comissões e outros variáveis (opcional)",'Custos por mês'!J$5:J$56)=0,"",SUMIF('Custos por mês'!$A$5:$A$56,"Comissões e outros variáveis (opcional)",'Custos por mês'!J$5:J$56))</f>
        <v/>
      </c>
      <c r="H8" s="15">
        <f>IF(SUMIF('Custos por mês'!$A$5:$A$56,"Taxas de cartão e antecipação",'Custos por mês'!J$5:J$56)=0,"",SUMIF('Custos por mês'!$A$5:$A$56,"Taxas de cartão e antecipação",'Custos por mês'!J$5:J$56))</f>
        <v/>
      </c>
      <c r="I8" s="15">
        <f>IF(SUMIF('Custos por mês'!$A$5:$A$56,"Impostos pagos no mês (R$)",'Custos por mês'!J$5:J$56)=0,"",SUMIF('Custos por mês'!$A$5:$A$56,"Impostos pagos no mês (R$)",'Custos por mês'!J$5:J$56))</f>
        <v/>
      </c>
      <c r="J8" s="15">
        <f>IF(SUMIF('Custos por mês'!$A$5:$A$56,"Descontos concedidos",'Custos por mês'!J$5:J$56)=0,"",SUMIF('Custos por mês'!$A$5:$A$56,"Descontos concedidos",'Custos por mês'!J$5:J$56))</f>
        <v/>
      </c>
      <c r="K8" s="15">
        <f>IF(SUMIF('Custos por mês'!$A$5:$A$56,"Despesas financeiras",'Custos por mês'!J$5:J$56)=0,"",SUMIF('Custos por mês'!$A$5:$A$56,"Despesas financeiras",'Custos por mês'!J$5:J$56))</f>
        <v/>
      </c>
      <c r="L8" s="15">
        <f>IF(SUMIF('Custos por mês'!$A$5:$A$56,"Parcelas de dívidas pagas no mês",'Custos por mês'!J$5:J$56)=0,"",SUMIF('Custos por mês'!$A$5:$A$56,"Parcelas de dívidas pagas no mês",'Custos por mês'!J$5:J$56))</f>
        <v/>
      </c>
      <c r="M8" s="15">
        <f>IF(SUMIF('Custos por mês'!$A$5:$A$56,"Saldo devedor de empréstimos",'Custos por mês'!J$5:J$56)=0,"",SUMIF('Custos por mês'!$A$5:$A$56,"Saldo devedor de empréstimos",'Custos por mês'!J$5:J$56))</f>
        <v/>
      </c>
      <c r="N8" s="15">
        <f>IF(SUMIF('Custos por mês'!$A$5:$A$56,"Saldo de caixa no fim do mês",'Custos por mês'!J$5:J$56)=0,"",SUMIF('Custos por mês'!$A$5:$A$56,"Saldo de caixa no fim do mês",'Custos por mês'!J$5:J$56))</f>
        <v/>
      </c>
    </row>
    <row r="9">
      <c r="A9">
        <f>'Custos por mês'!K4</f>
        <v/>
      </c>
      <c r="B9" s="15">
        <f>IF(SUMIF('Custos por mês'!$A$5:$A$56,"Equipe administrativa e pró-labore",'Custos por mês'!K$5:K$56)=0,"",SUMIF('Custos por mês'!$A$5:$A$56,"Equipe administrativa e pró-labore",'Custos por mês'!K$5:K$56))</f>
        <v/>
      </c>
      <c r="C9" s="15">
        <f>IF(SUMIF('Custos por mês'!$A$5:$A$56,"Aluguel, condomínio e utilidades",'Custos por mês'!K$5:K$56)=0,"",SUMIF('Custos por mês'!$A$5:$A$56,"Aluguel, condomínio e utilidades",'Custos por mês'!K$5:K$56))</f>
        <v/>
      </c>
      <c r="D9" s="15">
        <f>IF(SUMIF('Custos por mês'!$A$5:$A$56,"Sistemas, marketing e outros fixos",'Custos por mês'!K$5:K$56)=0,"",SUMIF('Custos por mês'!$A$5:$A$56,"Sistemas, marketing e outros fixos",'Custos por mês'!K$5:K$56))</f>
        <v/>
      </c>
      <c r="E9" s="15">
        <f>IF(SUMIF('Custos por mês'!$A$5:$A$56,"Insumos e materiais",'Custos por mês'!K$5:K$56)=0,"",SUMIF('Custos por mês'!$A$5:$A$56,"Insumos e materiais",'Custos por mês'!K$5:K$56))</f>
        <v/>
      </c>
      <c r="F9" s="15">
        <f>IF(SUMIF('Custos por mês'!$A$5:$A$56,"Profissionais da assistência (repasse/folha)",'Custos por mês'!K$5:K$56)=0,"",SUMIF('Custos por mês'!$A$5:$A$56,"Profissionais da assistência (repasse/folha)",'Custos por mês'!K$5:K$56))</f>
        <v/>
      </c>
      <c r="G9" s="15">
        <f>IF(SUMIF('Custos por mês'!$A$5:$A$56,"Comissões e outros variáveis (opcional)",'Custos por mês'!K$5:K$56)=0,"",SUMIF('Custos por mês'!$A$5:$A$56,"Comissões e outros variáveis (opcional)",'Custos por mês'!K$5:K$56))</f>
        <v/>
      </c>
      <c r="H9" s="15">
        <f>IF(SUMIF('Custos por mês'!$A$5:$A$56,"Taxas de cartão e antecipação",'Custos por mês'!K$5:K$56)=0,"",SUMIF('Custos por mês'!$A$5:$A$56,"Taxas de cartão e antecipação",'Custos por mês'!K$5:K$56))</f>
        <v/>
      </c>
      <c r="I9" s="15">
        <f>IF(SUMIF('Custos por mês'!$A$5:$A$56,"Impostos pagos no mês (R$)",'Custos por mês'!K$5:K$56)=0,"",SUMIF('Custos por mês'!$A$5:$A$56,"Impostos pagos no mês (R$)",'Custos por mês'!K$5:K$56))</f>
        <v/>
      </c>
      <c r="J9" s="15">
        <f>IF(SUMIF('Custos por mês'!$A$5:$A$56,"Descontos concedidos",'Custos por mês'!K$5:K$56)=0,"",SUMIF('Custos por mês'!$A$5:$A$56,"Descontos concedidos",'Custos por mês'!K$5:K$56))</f>
        <v/>
      </c>
      <c r="K9" s="15">
        <f>IF(SUMIF('Custos por mês'!$A$5:$A$56,"Despesas financeiras",'Custos por mês'!K$5:K$56)=0,"",SUMIF('Custos por mês'!$A$5:$A$56,"Despesas financeiras",'Custos por mês'!K$5:K$56))</f>
        <v/>
      </c>
      <c r="L9" s="15">
        <f>IF(SUMIF('Custos por mês'!$A$5:$A$56,"Parcelas de dívidas pagas no mês",'Custos por mês'!K$5:K$56)=0,"",SUMIF('Custos por mês'!$A$5:$A$56,"Parcelas de dívidas pagas no mês",'Custos por mês'!K$5:K$56))</f>
        <v/>
      </c>
      <c r="M9" s="15">
        <f>IF(SUMIF('Custos por mês'!$A$5:$A$56,"Saldo devedor de empréstimos",'Custos por mês'!K$5:K$56)=0,"",SUMIF('Custos por mês'!$A$5:$A$56,"Saldo devedor de empréstimos",'Custos por mês'!K$5:K$56))</f>
        <v/>
      </c>
      <c r="N9" s="15">
        <f>IF(SUMIF('Custos por mês'!$A$5:$A$56,"Saldo de caixa no fim do mês",'Custos por mês'!K$5:K$56)=0,"",SUMIF('Custos por mês'!$A$5:$A$56,"Saldo de caixa no fim do mês",'Custos por mês'!K$5:K$56))</f>
        <v/>
      </c>
    </row>
    <row r="10">
      <c r="A10">
        <f>'Custos por mês'!L4</f>
        <v/>
      </c>
      <c r="B10" s="15">
        <f>IF(SUMIF('Custos por mês'!$A$5:$A$56,"Equipe administrativa e pró-labore",'Custos por mês'!L$5:L$56)=0,"",SUMIF('Custos por mês'!$A$5:$A$56,"Equipe administrativa e pró-labore",'Custos por mês'!L$5:L$56))</f>
        <v/>
      </c>
      <c r="C10" s="15">
        <f>IF(SUMIF('Custos por mês'!$A$5:$A$56,"Aluguel, condomínio e utilidades",'Custos por mês'!L$5:L$56)=0,"",SUMIF('Custos por mês'!$A$5:$A$56,"Aluguel, condomínio e utilidades",'Custos por mês'!L$5:L$56))</f>
        <v/>
      </c>
      <c r="D10" s="15">
        <f>IF(SUMIF('Custos por mês'!$A$5:$A$56,"Sistemas, marketing e outros fixos",'Custos por mês'!L$5:L$56)=0,"",SUMIF('Custos por mês'!$A$5:$A$56,"Sistemas, marketing e outros fixos",'Custos por mês'!L$5:L$56))</f>
        <v/>
      </c>
      <c r="E10" s="15">
        <f>IF(SUMIF('Custos por mês'!$A$5:$A$56,"Insumos e materiais",'Custos por mês'!L$5:L$56)=0,"",SUMIF('Custos por mês'!$A$5:$A$56,"Insumos e materiais",'Custos por mês'!L$5:L$56))</f>
        <v/>
      </c>
      <c r="F10" s="15">
        <f>IF(SUMIF('Custos por mês'!$A$5:$A$56,"Profissionais da assistência (repasse/folha)",'Custos por mês'!L$5:L$56)=0,"",SUMIF('Custos por mês'!$A$5:$A$56,"Profissionais da assistência (repasse/folha)",'Custos por mês'!L$5:L$56))</f>
        <v/>
      </c>
      <c r="G10" s="15">
        <f>IF(SUMIF('Custos por mês'!$A$5:$A$56,"Comissões e outros variáveis (opcional)",'Custos por mês'!L$5:L$56)=0,"",SUMIF('Custos por mês'!$A$5:$A$56,"Comissões e outros variáveis (opcional)",'Custos por mês'!L$5:L$56))</f>
        <v/>
      </c>
      <c r="H10" s="15">
        <f>IF(SUMIF('Custos por mês'!$A$5:$A$56,"Taxas de cartão e antecipação",'Custos por mês'!L$5:L$56)=0,"",SUMIF('Custos por mês'!$A$5:$A$56,"Taxas de cartão e antecipação",'Custos por mês'!L$5:L$56))</f>
        <v/>
      </c>
      <c r="I10" s="15">
        <f>IF(SUMIF('Custos por mês'!$A$5:$A$56,"Impostos pagos no mês (R$)",'Custos por mês'!L$5:L$56)=0,"",SUMIF('Custos por mês'!$A$5:$A$56,"Impostos pagos no mês (R$)",'Custos por mês'!L$5:L$56))</f>
        <v/>
      </c>
      <c r="J10" s="15">
        <f>IF(SUMIF('Custos por mês'!$A$5:$A$56,"Descontos concedidos",'Custos por mês'!L$5:L$56)=0,"",SUMIF('Custos por mês'!$A$5:$A$56,"Descontos concedidos",'Custos por mês'!L$5:L$56))</f>
        <v/>
      </c>
      <c r="K10" s="15">
        <f>IF(SUMIF('Custos por mês'!$A$5:$A$56,"Despesas financeiras",'Custos por mês'!L$5:L$56)=0,"",SUMIF('Custos por mês'!$A$5:$A$56,"Despesas financeiras",'Custos por mês'!L$5:L$56))</f>
        <v/>
      </c>
      <c r="L10" s="15">
        <f>IF(SUMIF('Custos por mês'!$A$5:$A$56,"Parcelas de dívidas pagas no mês",'Custos por mês'!L$5:L$56)=0,"",SUMIF('Custos por mês'!$A$5:$A$56,"Parcelas de dívidas pagas no mês",'Custos por mês'!L$5:L$56))</f>
        <v/>
      </c>
      <c r="M10" s="15">
        <f>IF(SUMIF('Custos por mês'!$A$5:$A$56,"Saldo devedor de empréstimos",'Custos por mês'!L$5:L$56)=0,"",SUMIF('Custos por mês'!$A$5:$A$56,"Saldo devedor de empréstimos",'Custos por mês'!L$5:L$56))</f>
        <v/>
      </c>
      <c r="N10" s="15">
        <f>IF(SUMIF('Custos por mês'!$A$5:$A$56,"Saldo de caixa no fim do mês",'Custos por mês'!L$5:L$56)=0,"",SUMIF('Custos por mês'!$A$5:$A$56,"Saldo de caixa no fim do mês",'Custos por mês'!L$5:L$56))</f>
        <v/>
      </c>
    </row>
    <row r="11">
      <c r="A11">
        <f>'Custos por mês'!M4</f>
        <v/>
      </c>
      <c r="B11" s="15">
        <f>IF(SUMIF('Custos por mês'!$A$5:$A$56,"Equipe administrativa e pró-labore",'Custos por mês'!M$5:M$56)=0,"",SUMIF('Custos por mês'!$A$5:$A$56,"Equipe administrativa e pró-labore",'Custos por mês'!M$5:M$56))</f>
        <v/>
      </c>
      <c r="C11" s="15">
        <f>IF(SUMIF('Custos por mês'!$A$5:$A$56,"Aluguel, condomínio e utilidades",'Custos por mês'!M$5:M$56)=0,"",SUMIF('Custos por mês'!$A$5:$A$56,"Aluguel, condomínio e utilidades",'Custos por mês'!M$5:M$56))</f>
        <v/>
      </c>
      <c r="D11" s="15">
        <f>IF(SUMIF('Custos por mês'!$A$5:$A$56,"Sistemas, marketing e outros fixos",'Custos por mês'!M$5:M$56)=0,"",SUMIF('Custos por mês'!$A$5:$A$56,"Sistemas, marketing e outros fixos",'Custos por mês'!M$5:M$56))</f>
        <v/>
      </c>
      <c r="E11" s="15">
        <f>IF(SUMIF('Custos por mês'!$A$5:$A$56,"Insumos e materiais",'Custos por mês'!M$5:M$56)=0,"",SUMIF('Custos por mês'!$A$5:$A$56,"Insumos e materiais",'Custos por mês'!M$5:M$56))</f>
        <v/>
      </c>
      <c r="F11" s="15">
        <f>IF(SUMIF('Custos por mês'!$A$5:$A$56,"Profissionais da assistência (repasse/folha)",'Custos por mês'!M$5:M$56)=0,"",SUMIF('Custos por mês'!$A$5:$A$56,"Profissionais da assistência (repasse/folha)",'Custos por mês'!M$5:M$56))</f>
        <v/>
      </c>
      <c r="G11" s="15">
        <f>IF(SUMIF('Custos por mês'!$A$5:$A$56,"Comissões e outros variáveis (opcional)",'Custos por mês'!M$5:M$56)=0,"",SUMIF('Custos por mês'!$A$5:$A$56,"Comissões e outros variáveis (opcional)",'Custos por mês'!M$5:M$56))</f>
        <v/>
      </c>
      <c r="H11" s="15">
        <f>IF(SUMIF('Custos por mês'!$A$5:$A$56,"Taxas de cartão e antecipação",'Custos por mês'!M$5:M$56)=0,"",SUMIF('Custos por mês'!$A$5:$A$56,"Taxas de cartão e antecipação",'Custos por mês'!M$5:M$56))</f>
        <v/>
      </c>
      <c r="I11" s="15">
        <f>IF(SUMIF('Custos por mês'!$A$5:$A$56,"Impostos pagos no mês (R$)",'Custos por mês'!M$5:M$56)=0,"",SUMIF('Custos por mês'!$A$5:$A$56,"Impostos pagos no mês (R$)",'Custos por mês'!M$5:M$56))</f>
        <v/>
      </c>
      <c r="J11" s="15">
        <f>IF(SUMIF('Custos por mês'!$A$5:$A$56,"Descontos concedidos",'Custos por mês'!M$5:M$56)=0,"",SUMIF('Custos por mês'!$A$5:$A$56,"Descontos concedidos",'Custos por mês'!M$5:M$56))</f>
        <v/>
      </c>
      <c r="K11" s="15">
        <f>IF(SUMIF('Custos por mês'!$A$5:$A$56,"Despesas financeiras",'Custos por mês'!M$5:M$56)=0,"",SUMIF('Custos por mês'!$A$5:$A$56,"Despesas financeiras",'Custos por mês'!M$5:M$56))</f>
        <v/>
      </c>
      <c r="L11" s="15">
        <f>IF(SUMIF('Custos por mês'!$A$5:$A$56,"Parcelas de dívidas pagas no mês",'Custos por mês'!M$5:M$56)=0,"",SUMIF('Custos por mês'!$A$5:$A$56,"Parcelas de dívidas pagas no mês",'Custos por mês'!M$5:M$56))</f>
        <v/>
      </c>
      <c r="M11" s="15">
        <f>IF(SUMIF('Custos por mês'!$A$5:$A$56,"Saldo devedor de empréstimos",'Custos por mês'!M$5:M$56)=0,"",SUMIF('Custos por mês'!$A$5:$A$56,"Saldo devedor de empréstimos",'Custos por mês'!M$5:M$56))</f>
        <v/>
      </c>
      <c r="N11" s="15">
        <f>IF(SUMIF('Custos por mês'!$A$5:$A$56,"Saldo de caixa no fim do mês",'Custos por mês'!M$5:M$56)=0,"",SUMIF('Custos por mês'!$A$5:$A$56,"Saldo de caixa no fim do mês",'Custos por mês'!M$5:M$56))</f>
        <v/>
      </c>
    </row>
    <row r="12">
      <c r="A12">
        <f>'Custos por mês'!N4</f>
        <v/>
      </c>
      <c r="B12" s="15">
        <f>IF(SUMIF('Custos por mês'!$A$5:$A$56,"Equipe administrativa e pró-labore",'Custos por mês'!N$5:N$56)=0,"",SUMIF('Custos por mês'!$A$5:$A$56,"Equipe administrativa e pró-labore",'Custos por mês'!N$5:N$56))</f>
        <v/>
      </c>
      <c r="C12" s="15">
        <f>IF(SUMIF('Custos por mês'!$A$5:$A$56,"Aluguel, condomínio e utilidades",'Custos por mês'!N$5:N$56)=0,"",SUMIF('Custos por mês'!$A$5:$A$56,"Aluguel, condomínio e utilidades",'Custos por mês'!N$5:N$56))</f>
        <v/>
      </c>
      <c r="D12" s="15">
        <f>IF(SUMIF('Custos por mês'!$A$5:$A$56,"Sistemas, marketing e outros fixos",'Custos por mês'!N$5:N$56)=0,"",SUMIF('Custos por mês'!$A$5:$A$56,"Sistemas, marketing e outros fixos",'Custos por mês'!N$5:N$56))</f>
        <v/>
      </c>
      <c r="E12" s="15">
        <f>IF(SUMIF('Custos por mês'!$A$5:$A$56,"Insumos e materiais",'Custos por mês'!N$5:N$56)=0,"",SUMIF('Custos por mês'!$A$5:$A$56,"Insumos e materiais",'Custos por mês'!N$5:N$56))</f>
        <v/>
      </c>
      <c r="F12" s="15">
        <f>IF(SUMIF('Custos por mês'!$A$5:$A$56,"Profissionais da assistência (repasse/folha)",'Custos por mês'!N$5:N$56)=0,"",SUMIF('Custos por mês'!$A$5:$A$56,"Profissionais da assistência (repasse/folha)",'Custos por mês'!N$5:N$56))</f>
        <v/>
      </c>
      <c r="G12" s="15">
        <f>IF(SUMIF('Custos por mês'!$A$5:$A$56,"Comissões e outros variáveis (opcional)",'Custos por mês'!N$5:N$56)=0,"",SUMIF('Custos por mês'!$A$5:$A$56,"Comissões e outros variáveis (opcional)",'Custos por mês'!N$5:N$56))</f>
        <v/>
      </c>
      <c r="H12" s="15">
        <f>IF(SUMIF('Custos por mês'!$A$5:$A$56,"Taxas de cartão e antecipação",'Custos por mês'!N$5:N$56)=0,"",SUMIF('Custos por mês'!$A$5:$A$56,"Taxas de cartão e antecipação",'Custos por mês'!N$5:N$56))</f>
        <v/>
      </c>
      <c r="I12" s="15">
        <f>IF(SUMIF('Custos por mês'!$A$5:$A$56,"Impostos pagos no mês (R$)",'Custos por mês'!N$5:N$56)=0,"",SUMIF('Custos por mês'!$A$5:$A$56,"Impostos pagos no mês (R$)",'Custos por mês'!N$5:N$56))</f>
        <v/>
      </c>
      <c r="J12" s="15">
        <f>IF(SUMIF('Custos por mês'!$A$5:$A$56,"Descontos concedidos",'Custos por mês'!N$5:N$56)=0,"",SUMIF('Custos por mês'!$A$5:$A$56,"Descontos concedidos",'Custos por mês'!N$5:N$56))</f>
        <v/>
      </c>
      <c r="K12" s="15">
        <f>IF(SUMIF('Custos por mês'!$A$5:$A$56,"Despesas financeiras",'Custos por mês'!N$5:N$56)=0,"",SUMIF('Custos por mês'!$A$5:$A$56,"Despesas financeiras",'Custos por mês'!N$5:N$56))</f>
        <v/>
      </c>
      <c r="L12" s="15">
        <f>IF(SUMIF('Custos por mês'!$A$5:$A$56,"Parcelas de dívidas pagas no mês",'Custos por mês'!N$5:N$56)=0,"",SUMIF('Custos por mês'!$A$5:$A$56,"Parcelas de dívidas pagas no mês",'Custos por mês'!N$5:N$56))</f>
        <v/>
      </c>
      <c r="M12" s="15">
        <f>IF(SUMIF('Custos por mês'!$A$5:$A$56,"Saldo devedor de empréstimos",'Custos por mês'!N$5:N$56)=0,"",SUMIF('Custos por mês'!$A$5:$A$56,"Saldo devedor de empréstimos",'Custos por mês'!N$5:N$56))</f>
        <v/>
      </c>
      <c r="N12" s="15">
        <f>IF(SUMIF('Custos por mês'!$A$5:$A$56,"Saldo de caixa no fim do mês",'Custos por mês'!N$5:N$56)=0,"",SUMIF('Custos por mês'!$A$5:$A$56,"Saldo de caixa no fim do mês",'Custos por mês'!N$5:N$56))</f>
        <v/>
      </c>
    </row>
    <row r="13">
      <c r="A13">
        <f>'Custos por mês'!O4</f>
        <v/>
      </c>
      <c r="B13" s="15">
        <f>IF(SUMIF('Custos por mês'!$A$5:$A$56,"Equipe administrativa e pró-labore",'Custos por mês'!O$5:O$56)=0,"",SUMIF('Custos por mês'!$A$5:$A$56,"Equipe administrativa e pró-labore",'Custos por mês'!O$5:O$56))</f>
        <v/>
      </c>
      <c r="C13" s="15">
        <f>IF(SUMIF('Custos por mês'!$A$5:$A$56,"Aluguel, condomínio e utilidades",'Custos por mês'!O$5:O$56)=0,"",SUMIF('Custos por mês'!$A$5:$A$56,"Aluguel, condomínio e utilidades",'Custos por mês'!O$5:O$56))</f>
        <v/>
      </c>
      <c r="D13" s="15">
        <f>IF(SUMIF('Custos por mês'!$A$5:$A$56,"Sistemas, marketing e outros fixos",'Custos por mês'!O$5:O$56)=0,"",SUMIF('Custos por mês'!$A$5:$A$56,"Sistemas, marketing e outros fixos",'Custos por mês'!O$5:O$56))</f>
        <v/>
      </c>
      <c r="E13" s="15">
        <f>IF(SUMIF('Custos por mês'!$A$5:$A$56,"Insumos e materiais",'Custos por mês'!O$5:O$56)=0,"",SUMIF('Custos por mês'!$A$5:$A$56,"Insumos e materiais",'Custos por mês'!O$5:O$56))</f>
        <v/>
      </c>
      <c r="F13" s="15">
        <f>IF(SUMIF('Custos por mês'!$A$5:$A$56,"Profissionais da assistência (repasse/folha)",'Custos por mês'!O$5:O$56)=0,"",SUMIF('Custos por mês'!$A$5:$A$56,"Profissionais da assistência (repasse/folha)",'Custos por mês'!O$5:O$56))</f>
        <v/>
      </c>
      <c r="G13" s="15">
        <f>IF(SUMIF('Custos por mês'!$A$5:$A$56,"Comissões e outros variáveis (opcional)",'Custos por mês'!O$5:O$56)=0,"",SUMIF('Custos por mês'!$A$5:$A$56,"Comissões e outros variáveis (opcional)",'Custos por mês'!O$5:O$56))</f>
        <v/>
      </c>
      <c r="H13" s="15">
        <f>IF(SUMIF('Custos por mês'!$A$5:$A$56,"Taxas de cartão e antecipação",'Custos por mês'!O$5:O$56)=0,"",SUMIF('Custos por mês'!$A$5:$A$56,"Taxas de cartão e antecipação",'Custos por mês'!O$5:O$56))</f>
        <v/>
      </c>
      <c r="I13" s="15">
        <f>IF(SUMIF('Custos por mês'!$A$5:$A$56,"Impostos pagos no mês (R$)",'Custos por mês'!O$5:O$56)=0,"",SUMIF('Custos por mês'!$A$5:$A$56,"Impostos pagos no mês (R$)",'Custos por mês'!O$5:O$56))</f>
        <v/>
      </c>
      <c r="J13" s="15">
        <f>IF(SUMIF('Custos por mês'!$A$5:$A$56,"Descontos concedidos",'Custos por mês'!O$5:O$56)=0,"",SUMIF('Custos por mês'!$A$5:$A$56,"Descontos concedidos",'Custos por mês'!O$5:O$56))</f>
        <v/>
      </c>
      <c r="K13" s="15">
        <f>IF(SUMIF('Custos por mês'!$A$5:$A$56,"Despesas financeiras",'Custos por mês'!O$5:O$56)=0,"",SUMIF('Custos por mês'!$A$5:$A$56,"Despesas financeiras",'Custos por mês'!O$5:O$56))</f>
        <v/>
      </c>
      <c r="L13" s="15">
        <f>IF(SUMIF('Custos por mês'!$A$5:$A$56,"Parcelas de dívidas pagas no mês",'Custos por mês'!O$5:O$56)=0,"",SUMIF('Custos por mês'!$A$5:$A$56,"Parcelas de dívidas pagas no mês",'Custos por mês'!O$5:O$56))</f>
        <v/>
      </c>
      <c r="M13" s="15">
        <f>IF(SUMIF('Custos por mês'!$A$5:$A$56,"Saldo devedor de empréstimos",'Custos por mês'!O$5:O$56)=0,"",SUMIF('Custos por mês'!$A$5:$A$56,"Saldo devedor de empréstimos",'Custos por mês'!O$5:O$56))</f>
        <v/>
      </c>
      <c r="N13" s="15">
        <f>IF(SUMIF('Custos por mês'!$A$5:$A$56,"Saldo de caixa no fim do mês",'Custos por mês'!O$5:O$56)=0,"",SUMIF('Custos por mês'!$A$5:$A$56,"Saldo de caixa no fim do mês",'Custos por mês'!O$5:O$56))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2026-10-09T19:14:29Z</dcterms:created>
  <dcterms:modified xmlns:dcterms="http://purl.org/dc/terms/" xmlns:xsi="http://www.w3.org/2001/XMLSchema-instance" xsi:type="dcterms:W3CDTF">2026-10-09T19:14:29Z</dcterms:modified>
</cp:coreProperties>
</file>